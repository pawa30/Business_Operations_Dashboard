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Business_Operations_Dasboard\Data\"/>
    </mc:Choice>
  </mc:AlternateContent>
  <xr:revisionPtr revIDLastSave="0" documentId="13_ncr:1_{3843E41C-B2E3-4EC0-9215-697E5E0D6EF2}" xr6:coauthVersionLast="47" xr6:coauthVersionMax="47" xr10:uidLastSave="{00000000-0000-0000-0000-000000000000}"/>
  <bookViews>
    <workbookView xWindow="-110" yWindow="-110" windowWidth="19420" windowHeight="10300" xr2:uid="{465A86FE-0372-4276-BE03-B3FA3107E244}"/>
  </bookViews>
  <sheets>
    <sheet name="apps" sheetId="1" r:id="rId1"/>
    <sheet name="competitors" sheetId="2" r:id="rId2"/>
    <sheet name="expenses" sheetId="3" r:id="rId3"/>
    <sheet name="Dashboard" sheetId="4" r:id="rId4"/>
    <sheet name="pivot analysis" sheetId="6" r:id="rId5"/>
  </sheets>
  <definedNames>
    <definedName name="Slicer_App_Name">#N/A</definedName>
  </definedNames>
  <calcPr calcId="191029"/>
  <pivotCaches>
    <pivotCache cacheId="1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3" i="4" l="1"/>
  <c r="H3" i="4"/>
  <c r="G3" i="4"/>
  <c r="F3" i="4"/>
  <c r="E8" i="3"/>
  <c r="E9" i="3"/>
  <c r="E10" i="3"/>
  <c r="E11" i="3"/>
  <c r="E12" i="3"/>
  <c r="E13" i="3"/>
  <c r="E3" i="3"/>
  <c r="E4" i="3"/>
  <c r="E5" i="3"/>
  <c r="E6" i="3"/>
  <c r="E7" i="3"/>
  <c r="E2" i="3"/>
</calcChain>
</file>

<file path=xl/sharedStrings.xml><?xml version="1.0" encoding="utf-8"?>
<sst xmlns="http://schemas.openxmlformats.org/spreadsheetml/2006/main" count="102" uniqueCount="76">
  <si>
    <t>App_ID</t>
  </si>
  <si>
    <t>FitnessPro</t>
  </si>
  <si>
    <t>LearnFast</t>
  </si>
  <si>
    <t>FoodNow</t>
  </si>
  <si>
    <t>ShopEase</t>
  </si>
  <si>
    <t>TravelMate</t>
  </si>
  <si>
    <t>App_Name</t>
  </si>
  <si>
    <t>Downloads</t>
  </si>
  <si>
    <t>Revenue</t>
  </si>
  <si>
    <t>Rating</t>
  </si>
  <si>
    <t>Active_Users</t>
  </si>
  <si>
    <t>Competitor</t>
  </si>
  <si>
    <t>ABC Tech</t>
  </si>
  <si>
    <t>FitLife</t>
  </si>
  <si>
    <t>XYZ Labs</t>
  </si>
  <si>
    <t>LearnPro</t>
  </si>
  <si>
    <t>Smart Apps</t>
  </si>
  <si>
    <t>FoodKing</t>
  </si>
  <si>
    <t>Alpha Digital</t>
  </si>
  <si>
    <t>ShopQuick</t>
  </si>
  <si>
    <t>NextGen Apps</t>
  </si>
  <si>
    <t>TravelGo</t>
  </si>
  <si>
    <t>Month</t>
  </si>
  <si>
    <t>Domain_Cost</t>
  </si>
  <si>
    <t>Hosting_Cost</t>
  </si>
  <si>
    <t>Tool_Cost</t>
  </si>
  <si>
    <t>Jan</t>
  </si>
  <si>
    <t>Feb</t>
  </si>
  <si>
    <t>Mar</t>
  </si>
  <si>
    <t>Apr</t>
  </si>
  <si>
    <t>May</t>
  </si>
  <si>
    <t>Jun</t>
  </si>
  <si>
    <t xml:space="preserve">Total </t>
  </si>
  <si>
    <t xml:space="preserve">Revenue </t>
  </si>
  <si>
    <t>Expense</t>
  </si>
  <si>
    <t>Row Labels</t>
  </si>
  <si>
    <t>Grand Total</t>
  </si>
  <si>
    <t>Sum of Revenue</t>
  </si>
  <si>
    <t>HealthTrack</t>
  </si>
  <si>
    <t>StudyBuddy</t>
  </si>
  <si>
    <t>QuickCart</t>
  </si>
  <si>
    <t>MovieHub</t>
  </si>
  <si>
    <t>FinanceWise</t>
  </si>
  <si>
    <t>FitJourney</t>
  </si>
  <si>
    <t>NewsFlash</t>
  </si>
  <si>
    <t>Eventify</t>
  </si>
  <si>
    <t>RecipeBook</t>
  </si>
  <si>
    <t>SmartNotes</t>
  </si>
  <si>
    <t>PrimeApps</t>
  </si>
  <si>
    <t>HealthHero</t>
  </si>
  <si>
    <t>EduTech</t>
  </si>
  <si>
    <t>SmartLearn</t>
  </si>
  <si>
    <t>ShopMaster</t>
  </si>
  <si>
    <t>EasyBuy</t>
  </si>
  <si>
    <t>StreamX</t>
  </si>
  <si>
    <t>CineWorld</t>
  </si>
  <si>
    <t>FinEdge</t>
  </si>
  <si>
    <t>MoneyTrack</t>
  </si>
  <si>
    <t>HealthPlus</t>
  </si>
  <si>
    <t>WellnessGo</t>
  </si>
  <si>
    <t>NewsNow</t>
  </si>
  <si>
    <t>DailyNews</t>
  </si>
  <si>
    <t>EventPro</t>
  </si>
  <si>
    <t>PartyPlanner</t>
  </si>
  <si>
    <t>CookMaster</t>
  </si>
  <si>
    <t>FoodRecipes</t>
  </si>
  <si>
    <t>NotesPro</t>
  </si>
  <si>
    <t>QuickNotes</t>
  </si>
  <si>
    <t>Jul</t>
  </si>
  <si>
    <t>Aug</t>
  </si>
  <si>
    <t>Sep</t>
  </si>
  <si>
    <t>Oct</t>
  </si>
  <si>
    <t>Nov</t>
  </si>
  <si>
    <t>Dec</t>
  </si>
  <si>
    <t>Rank</t>
  </si>
  <si>
    <t>App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</si>
</sst>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xf numFmtId="0" fontId="0" fillId="0" borderId="1" xfId="0" applyBorder="1"/>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apps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apps!$D$1</c:f>
              <c:strCache>
                <c:ptCount val="1"/>
                <c:pt idx="0">
                  <c:v>Revenue</c:v>
                </c:pt>
              </c:strCache>
            </c:strRef>
          </c:tx>
          <c:spPr>
            <a:solidFill>
              <a:schemeClr val="accent1"/>
            </a:solidFill>
            <a:ln>
              <a:noFill/>
            </a:ln>
            <a:effectLst/>
          </c:spPr>
          <c:invertIfNegative val="0"/>
          <c:val>
            <c:numRef>
              <c:f>apps!$D$2:$D$16</c:f>
              <c:numCache>
                <c:formatCode>General</c:formatCode>
                <c:ptCount val="15"/>
                <c:pt idx="0">
                  <c:v>45000</c:v>
                </c:pt>
                <c:pt idx="1">
                  <c:v>60000</c:v>
                </c:pt>
                <c:pt idx="2">
                  <c:v>50000</c:v>
                </c:pt>
                <c:pt idx="3">
                  <c:v>85000</c:v>
                </c:pt>
                <c:pt idx="4">
                  <c:v>35000</c:v>
                </c:pt>
                <c:pt idx="5">
                  <c:v>65000</c:v>
                </c:pt>
                <c:pt idx="6">
                  <c:v>70000</c:v>
                </c:pt>
                <c:pt idx="7">
                  <c:v>90000</c:v>
                </c:pt>
                <c:pt idx="8">
                  <c:v>55000</c:v>
                </c:pt>
                <c:pt idx="9">
                  <c:v>60000</c:v>
                </c:pt>
                <c:pt idx="10">
                  <c:v>72000</c:v>
                </c:pt>
                <c:pt idx="11">
                  <c:v>40000</c:v>
                </c:pt>
                <c:pt idx="12">
                  <c:v>45000</c:v>
                </c:pt>
                <c:pt idx="13">
                  <c:v>38000</c:v>
                </c:pt>
                <c:pt idx="14">
                  <c:v>80000</c:v>
                </c:pt>
              </c:numCache>
            </c:numRef>
          </c:val>
          <c:extLst>
            <c:ext xmlns:c16="http://schemas.microsoft.com/office/drawing/2014/chart" uri="{C3380CC4-5D6E-409C-BE32-E72D297353CC}">
              <c16:uniqueId val="{00000000-277C-4208-8F25-A877C4D3C07C}"/>
            </c:ext>
          </c:extLst>
        </c:ser>
        <c:dLbls>
          <c:showLegendKey val="0"/>
          <c:showVal val="0"/>
          <c:showCatName val="0"/>
          <c:showSerName val="0"/>
          <c:showPercent val="0"/>
          <c:showBubbleSize val="0"/>
        </c:dLbls>
        <c:gapWidth val="219"/>
        <c:overlap val="-27"/>
        <c:axId val="1910472192"/>
        <c:axId val="1910474592"/>
      </c:barChart>
      <c:catAx>
        <c:axId val="19104721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474592"/>
        <c:crosses val="autoZero"/>
        <c:auto val="1"/>
        <c:lblAlgn val="ctr"/>
        <c:lblOffset val="100"/>
        <c:noMultiLvlLbl val="0"/>
      </c:catAx>
      <c:valAx>
        <c:axId val="1910474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472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Downloads by app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apps!$C$1</c:f>
              <c:strCache>
                <c:ptCount val="1"/>
                <c:pt idx="0">
                  <c:v>Downloads</c:v>
                </c:pt>
              </c:strCache>
            </c:strRef>
          </c:tx>
          <c:spPr>
            <a:solidFill>
              <a:schemeClr val="accent1"/>
            </a:solidFill>
            <a:ln>
              <a:noFill/>
            </a:ln>
            <a:effectLst/>
          </c:spPr>
          <c:invertIfNegative val="0"/>
          <c:val>
            <c:numRef>
              <c:f>apps!$C$2:$C$16</c:f>
              <c:numCache>
                <c:formatCode>General</c:formatCode>
                <c:ptCount val="15"/>
                <c:pt idx="0">
                  <c:v>15000</c:v>
                </c:pt>
                <c:pt idx="1">
                  <c:v>25000</c:v>
                </c:pt>
                <c:pt idx="2">
                  <c:v>18000</c:v>
                </c:pt>
                <c:pt idx="3">
                  <c:v>30000</c:v>
                </c:pt>
                <c:pt idx="4">
                  <c:v>12000</c:v>
                </c:pt>
                <c:pt idx="5">
                  <c:v>22000</c:v>
                </c:pt>
                <c:pt idx="6">
                  <c:v>27000</c:v>
                </c:pt>
                <c:pt idx="7">
                  <c:v>32000</c:v>
                </c:pt>
                <c:pt idx="8">
                  <c:v>20000</c:v>
                </c:pt>
                <c:pt idx="9">
                  <c:v>18000</c:v>
                </c:pt>
                <c:pt idx="10">
                  <c:v>25000</c:v>
                </c:pt>
                <c:pt idx="11">
                  <c:v>15000</c:v>
                </c:pt>
                <c:pt idx="12">
                  <c:v>17000</c:v>
                </c:pt>
                <c:pt idx="13">
                  <c:v>14000</c:v>
                </c:pt>
                <c:pt idx="14">
                  <c:v>29000</c:v>
                </c:pt>
              </c:numCache>
            </c:numRef>
          </c:val>
          <c:extLst>
            <c:ext xmlns:c16="http://schemas.microsoft.com/office/drawing/2014/chart" uri="{C3380CC4-5D6E-409C-BE32-E72D297353CC}">
              <c16:uniqueId val="{00000000-5285-4AF4-AD4A-2092EAD2FF4E}"/>
            </c:ext>
          </c:extLst>
        </c:ser>
        <c:dLbls>
          <c:showLegendKey val="0"/>
          <c:showVal val="0"/>
          <c:showCatName val="0"/>
          <c:showSerName val="0"/>
          <c:showPercent val="0"/>
          <c:showBubbleSize val="0"/>
        </c:dLbls>
        <c:gapWidth val="219"/>
        <c:overlap val="-27"/>
        <c:axId val="1907388496"/>
        <c:axId val="1907393776"/>
      </c:barChart>
      <c:catAx>
        <c:axId val="190738849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393776"/>
        <c:crosses val="autoZero"/>
        <c:auto val="1"/>
        <c:lblAlgn val="ctr"/>
        <c:lblOffset val="100"/>
        <c:noMultiLvlLbl val="0"/>
      </c:catAx>
      <c:valAx>
        <c:axId val="1907393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388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expense</a:t>
            </a:r>
            <a:r>
              <a:rPr lang="en-US"/>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expenses!$E$1</c:f>
              <c:strCache>
                <c:ptCount val="1"/>
                <c:pt idx="0">
                  <c:v>Total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expenses!$E$2:$E$13</c:f>
              <c:numCache>
                <c:formatCode>General</c:formatCode>
                <c:ptCount val="12"/>
                <c:pt idx="0">
                  <c:v>8200</c:v>
                </c:pt>
                <c:pt idx="1">
                  <c:v>8400</c:v>
                </c:pt>
                <c:pt idx="2">
                  <c:v>8500</c:v>
                </c:pt>
                <c:pt idx="3">
                  <c:v>8700</c:v>
                </c:pt>
                <c:pt idx="4">
                  <c:v>9000</c:v>
                </c:pt>
                <c:pt idx="5">
                  <c:v>9200</c:v>
                </c:pt>
                <c:pt idx="6">
                  <c:v>9500</c:v>
                </c:pt>
                <c:pt idx="7">
                  <c:v>9600</c:v>
                </c:pt>
                <c:pt idx="8">
                  <c:v>9900</c:v>
                </c:pt>
                <c:pt idx="9">
                  <c:v>10000</c:v>
                </c:pt>
                <c:pt idx="10">
                  <c:v>10300</c:v>
                </c:pt>
                <c:pt idx="11">
                  <c:v>10600</c:v>
                </c:pt>
              </c:numCache>
            </c:numRef>
          </c:val>
          <c:smooth val="0"/>
          <c:extLst>
            <c:ext xmlns:c16="http://schemas.microsoft.com/office/drawing/2014/chart" uri="{C3380CC4-5D6E-409C-BE32-E72D297353CC}">
              <c16:uniqueId val="{00000000-2466-4BE8-8597-5EB69A969C62}"/>
            </c:ext>
          </c:extLst>
        </c:ser>
        <c:dLbls>
          <c:showLegendKey val="0"/>
          <c:showVal val="0"/>
          <c:showCatName val="0"/>
          <c:showSerName val="0"/>
          <c:showPercent val="0"/>
          <c:showBubbleSize val="0"/>
        </c:dLbls>
        <c:marker val="1"/>
        <c:smooth val="0"/>
        <c:axId val="1907393776"/>
        <c:axId val="1907391856"/>
      </c:lineChart>
      <c:catAx>
        <c:axId val="19073937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391856"/>
        <c:crosses val="autoZero"/>
        <c:auto val="1"/>
        <c:lblAlgn val="ctr"/>
        <c:lblOffset val="100"/>
        <c:noMultiLvlLbl val="0"/>
      </c:catAx>
      <c:valAx>
        <c:axId val="1907391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393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competitors Downloads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competitors!$C$1</c:f>
              <c:strCache>
                <c:ptCount val="1"/>
                <c:pt idx="0">
                  <c:v>Downloads</c:v>
                </c:pt>
              </c:strCache>
            </c:strRef>
          </c:tx>
          <c:spPr>
            <a:solidFill>
              <a:schemeClr val="accent1"/>
            </a:solidFill>
            <a:ln>
              <a:noFill/>
            </a:ln>
            <a:effectLst/>
          </c:spPr>
          <c:invertIfNegative val="0"/>
          <c:val>
            <c:numRef>
              <c:f>competitors!$C$2:$C$16</c:f>
              <c:numCache>
                <c:formatCode>General</c:formatCode>
                <c:ptCount val="15"/>
                <c:pt idx="0">
                  <c:v>20000</c:v>
                </c:pt>
                <c:pt idx="1">
                  <c:v>28000</c:v>
                </c:pt>
                <c:pt idx="2">
                  <c:v>25000</c:v>
                </c:pt>
                <c:pt idx="3">
                  <c:v>35000</c:v>
                </c:pt>
                <c:pt idx="4">
                  <c:v>15000</c:v>
                </c:pt>
                <c:pt idx="5">
                  <c:v>24000</c:v>
                </c:pt>
                <c:pt idx="6">
                  <c:v>30000</c:v>
                </c:pt>
                <c:pt idx="7">
                  <c:v>40000</c:v>
                </c:pt>
                <c:pt idx="8">
                  <c:v>26000</c:v>
                </c:pt>
                <c:pt idx="9">
                  <c:v>22000</c:v>
                </c:pt>
                <c:pt idx="10">
                  <c:v>28000</c:v>
                </c:pt>
                <c:pt idx="11">
                  <c:v>18000</c:v>
                </c:pt>
                <c:pt idx="12">
                  <c:v>20000</c:v>
                </c:pt>
                <c:pt idx="13">
                  <c:v>16000</c:v>
                </c:pt>
                <c:pt idx="14">
                  <c:v>32000</c:v>
                </c:pt>
              </c:numCache>
            </c:numRef>
          </c:val>
          <c:extLst>
            <c:ext xmlns:c16="http://schemas.microsoft.com/office/drawing/2014/chart" uri="{C3380CC4-5D6E-409C-BE32-E72D297353CC}">
              <c16:uniqueId val="{00000000-D52D-41D2-9BF1-5ADFEB1E55D5}"/>
            </c:ext>
          </c:extLst>
        </c:ser>
        <c:dLbls>
          <c:showLegendKey val="0"/>
          <c:showVal val="0"/>
          <c:showCatName val="0"/>
          <c:showSerName val="0"/>
          <c:showPercent val="0"/>
          <c:showBubbleSize val="0"/>
        </c:dLbls>
        <c:gapWidth val="219"/>
        <c:overlap val="-27"/>
        <c:axId val="1907390416"/>
        <c:axId val="1907391376"/>
      </c:barChart>
      <c:catAx>
        <c:axId val="19073904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391376"/>
        <c:crosses val="autoZero"/>
        <c:auto val="1"/>
        <c:lblAlgn val="ctr"/>
        <c:lblOffset val="100"/>
        <c:noMultiLvlLbl val="0"/>
      </c:catAx>
      <c:valAx>
        <c:axId val="190739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3904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[apps_data.xlsx]pivot analysis!PivotTable4</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Revenue Performance by App</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c:f>
              <c:strCache>
                <c:ptCount val="1"/>
                <c:pt idx="0">
                  <c:v>Total</c:v>
                </c:pt>
              </c:strCache>
            </c:strRef>
          </c:tx>
          <c:spPr>
            <a:solidFill>
              <a:schemeClr val="accent1"/>
            </a:solidFill>
            <a:ln>
              <a:noFill/>
            </a:ln>
            <a:effectLst/>
          </c:spPr>
          <c:invertIfNegative val="0"/>
          <c:cat>
            <c:strRef>
              <c:f>'pivot analysis'!$A$4:$A$19</c:f>
              <c:strCache>
                <c:ptCount val="15"/>
                <c:pt idx="0">
                  <c:v>Eventify</c:v>
                </c:pt>
                <c:pt idx="1">
                  <c:v>FinanceWise</c:v>
                </c:pt>
                <c:pt idx="2">
                  <c:v>FitJourney</c:v>
                </c:pt>
                <c:pt idx="3">
                  <c:v>FitnessPro</c:v>
                </c:pt>
                <c:pt idx="4">
                  <c:v>FoodNow</c:v>
                </c:pt>
                <c:pt idx="5">
                  <c:v>HealthTrack</c:v>
                </c:pt>
                <c:pt idx="6">
                  <c:v>LearnFast</c:v>
                </c:pt>
                <c:pt idx="7">
                  <c:v>MovieHub</c:v>
                </c:pt>
                <c:pt idx="8">
                  <c:v>NewsFlash</c:v>
                </c:pt>
                <c:pt idx="9">
                  <c:v>QuickCart</c:v>
                </c:pt>
                <c:pt idx="10">
                  <c:v>RecipeBook</c:v>
                </c:pt>
                <c:pt idx="11">
                  <c:v>ShopEase</c:v>
                </c:pt>
                <c:pt idx="12">
                  <c:v>SmartNotes</c:v>
                </c:pt>
                <c:pt idx="13">
                  <c:v>StudyBuddy</c:v>
                </c:pt>
                <c:pt idx="14">
                  <c:v>TravelMate</c:v>
                </c:pt>
              </c:strCache>
            </c:strRef>
          </c:cat>
          <c:val>
            <c:numRef>
              <c:f>'pivot analysis'!$B$4:$B$19</c:f>
              <c:numCache>
                <c:formatCode>General</c:formatCode>
                <c:ptCount val="15"/>
                <c:pt idx="0">
                  <c:v>45000</c:v>
                </c:pt>
                <c:pt idx="1">
                  <c:v>60000</c:v>
                </c:pt>
                <c:pt idx="2">
                  <c:v>72000</c:v>
                </c:pt>
                <c:pt idx="3">
                  <c:v>45000</c:v>
                </c:pt>
                <c:pt idx="4">
                  <c:v>50000</c:v>
                </c:pt>
                <c:pt idx="5">
                  <c:v>65000</c:v>
                </c:pt>
                <c:pt idx="6">
                  <c:v>60000</c:v>
                </c:pt>
                <c:pt idx="7">
                  <c:v>55000</c:v>
                </c:pt>
                <c:pt idx="8">
                  <c:v>40000</c:v>
                </c:pt>
                <c:pt idx="9">
                  <c:v>90000</c:v>
                </c:pt>
                <c:pt idx="10">
                  <c:v>38000</c:v>
                </c:pt>
                <c:pt idx="11">
                  <c:v>85000</c:v>
                </c:pt>
                <c:pt idx="12">
                  <c:v>80000</c:v>
                </c:pt>
                <c:pt idx="13">
                  <c:v>70000</c:v>
                </c:pt>
                <c:pt idx="14">
                  <c:v>35000</c:v>
                </c:pt>
              </c:numCache>
            </c:numRef>
          </c:val>
          <c:extLst>
            <c:ext xmlns:c16="http://schemas.microsoft.com/office/drawing/2014/chart" uri="{C3380CC4-5D6E-409C-BE32-E72D297353CC}">
              <c16:uniqueId val="{00000000-081C-4E62-BF74-BB12C54136BB}"/>
            </c:ext>
          </c:extLst>
        </c:ser>
        <c:dLbls>
          <c:showLegendKey val="0"/>
          <c:showVal val="0"/>
          <c:showCatName val="0"/>
          <c:showSerName val="0"/>
          <c:showPercent val="0"/>
          <c:showBubbleSize val="0"/>
        </c:dLbls>
        <c:gapWidth val="267"/>
        <c:overlap val="-43"/>
        <c:axId val="1910469312"/>
        <c:axId val="1910476032"/>
      </c:barChart>
      <c:catAx>
        <c:axId val="1910469312"/>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910476032"/>
        <c:crosses val="autoZero"/>
        <c:auto val="1"/>
        <c:lblAlgn val="ctr"/>
        <c:lblOffset val="100"/>
        <c:noMultiLvlLbl val="0"/>
      </c:catAx>
      <c:valAx>
        <c:axId val="1910476032"/>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10469312"/>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244475</xdr:colOff>
      <xdr:row>7</xdr:row>
      <xdr:rowOff>6350</xdr:rowOff>
    </xdr:from>
    <xdr:to>
      <xdr:col>6</xdr:col>
      <xdr:colOff>508000</xdr:colOff>
      <xdr:row>19</xdr:row>
      <xdr:rowOff>63500</xdr:rowOff>
    </xdr:to>
    <xdr:graphicFrame macro="">
      <xdr:nvGraphicFramePr>
        <xdr:cNvPr id="6" name="Chart 1">
          <a:extLst>
            <a:ext uri="{FF2B5EF4-FFF2-40B4-BE49-F238E27FC236}">
              <a16:creationId xmlns:a16="http://schemas.microsoft.com/office/drawing/2014/main" id="{F9096BFB-A336-650B-C6DF-214AB75109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184149</xdr:colOff>
      <xdr:row>6</xdr:row>
      <xdr:rowOff>177800</xdr:rowOff>
    </xdr:from>
    <xdr:to>
      <xdr:col>14</xdr:col>
      <xdr:colOff>492124</xdr:colOff>
      <xdr:row>19</xdr:row>
      <xdr:rowOff>19050</xdr:rowOff>
    </xdr:to>
    <xdr:graphicFrame macro="">
      <xdr:nvGraphicFramePr>
        <xdr:cNvPr id="7" name="Chart 2">
          <a:extLst>
            <a:ext uri="{FF2B5EF4-FFF2-40B4-BE49-F238E27FC236}">
              <a16:creationId xmlns:a16="http://schemas.microsoft.com/office/drawing/2014/main" id="{C4662886-7B76-A9B2-69A2-DC9850D0D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349249</xdr:colOff>
      <xdr:row>22</xdr:row>
      <xdr:rowOff>25400</xdr:rowOff>
    </xdr:from>
    <xdr:to>
      <xdr:col>6</xdr:col>
      <xdr:colOff>549274</xdr:colOff>
      <xdr:row>34</xdr:row>
      <xdr:rowOff>50800</xdr:rowOff>
    </xdr:to>
    <xdr:graphicFrame macro="">
      <xdr:nvGraphicFramePr>
        <xdr:cNvPr id="8" name="Chart 1">
          <a:extLst>
            <a:ext uri="{FF2B5EF4-FFF2-40B4-BE49-F238E27FC236}">
              <a16:creationId xmlns:a16="http://schemas.microsoft.com/office/drawing/2014/main" id="{E1ECC8B1-3DB0-6007-40EA-714A8F2A6D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241300</xdr:colOff>
      <xdr:row>22</xdr:row>
      <xdr:rowOff>19050</xdr:rowOff>
    </xdr:from>
    <xdr:to>
      <xdr:col>14</xdr:col>
      <xdr:colOff>403224</xdr:colOff>
      <xdr:row>34</xdr:row>
      <xdr:rowOff>139700</xdr:rowOff>
    </xdr:to>
    <xdr:graphicFrame macro="">
      <xdr:nvGraphicFramePr>
        <xdr:cNvPr id="9" name="Chart 1">
          <a:extLst>
            <a:ext uri="{FF2B5EF4-FFF2-40B4-BE49-F238E27FC236}">
              <a16:creationId xmlns:a16="http://schemas.microsoft.com/office/drawing/2014/main" id="{AD6FAA03-B69B-8850-BFFC-F44427E22F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146050</xdr:colOff>
      <xdr:row>3</xdr:row>
      <xdr:rowOff>47625</xdr:rowOff>
    </xdr:from>
    <xdr:to>
      <xdr:col>13</xdr:col>
      <xdr:colOff>450850</xdr:colOff>
      <xdr:row>18</xdr:row>
      <xdr:rowOff>28575</xdr:rowOff>
    </xdr:to>
    <xdr:graphicFrame macro="">
      <xdr:nvGraphicFramePr>
        <xdr:cNvPr id="2" name="Chart 1">
          <a:extLst>
            <a:ext uri="{FF2B5EF4-FFF2-40B4-BE49-F238E27FC236}">
              <a16:creationId xmlns:a16="http://schemas.microsoft.com/office/drawing/2014/main" id="{7154E1B1-935F-475F-5704-A3B07DE369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19050</xdr:colOff>
      <xdr:row>3</xdr:row>
      <xdr:rowOff>177800</xdr:rowOff>
    </xdr:from>
    <xdr:to>
      <xdr:col>6</xdr:col>
      <xdr:colOff>19050</xdr:colOff>
      <xdr:row>18</xdr:row>
      <xdr:rowOff>34922</xdr:rowOff>
    </xdr:to>
    <mc:AlternateContent xmlns:mc="http://schemas.openxmlformats.org/markup-compatibility/2006">
      <mc:Choice xmlns:a14="http://schemas.microsoft.com/office/drawing/2010/main" Requires="a14">
        <xdr:graphicFrame macro="">
          <xdr:nvGraphicFramePr>
            <xdr:cNvPr id="3" name="App_Name">
              <a:extLst>
                <a:ext uri="{FF2B5EF4-FFF2-40B4-BE49-F238E27FC236}">
                  <a16:creationId xmlns:a16="http://schemas.microsoft.com/office/drawing/2014/main" id="{E7C30387-9AFF-48F8-E973-BACF2CE6E74D}"/>
                </a:ext>
              </a:extLst>
            </xdr:cNvPr>
            <xdr:cNvGraphicFramePr/>
          </xdr:nvGraphicFramePr>
          <xdr:xfrm>
            <a:off x="0" y="0"/>
            <a:ext cx="0" cy="0"/>
          </xdr:xfrm>
          <a:graphic>
            <a:graphicData uri="http://schemas.microsoft.com/office/drawing/2010/slicer">
              <sle:slicer xmlns:sle="http://schemas.microsoft.com/office/drawing/2010/slicer" name="App_Name"/>
            </a:graphicData>
          </a:graphic>
        </xdr:graphicFrame>
      </mc:Choice>
      <mc:Fallback>
        <xdr:sp macro="" textlink="">
          <xdr:nvSpPr>
            <xdr:cNvPr id="0" name=""/>
            <xdr:cNvSpPr>
              <a:spLocks noTextEdit="1"/>
            </xdr:cNvSpPr>
          </xdr:nvSpPr>
          <xdr:spPr>
            <a:xfrm>
              <a:off x="2501900" y="730250"/>
              <a:ext cx="1828800"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 Pawaskar" refreshedDate="46190.632385416669" createdVersion="8" refreshedVersion="8" minRefreshableVersion="3" recordCount="15" xr:uid="{F4DC5629-37EE-418F-AFA2-998B8B195668}">
  <cacheSource type="worksheet">
    <worksheetSource ref="A1:F16" sheet="apps"/>
  </cacheSource>
  <cacheFields count="6">
    <cacheField name="App_ID" numFmtId="0">
      <sharedItems containsSemiMixedTypes="0" containsString="0" containsNumber="1" containsInteger="1" minValue="1" maxValue="15"/>
    </cacheField>
    <cacheField name="App_Name" numFmtId="0">
      <sharedItems count="15">
        <s v="FitnessPro"/>
        <s v="LearnFast"/>
        <s v="FoodNow"/>
        <s v="ShopEase"/>
        <s v="TravelMate"/>
        <s v="HealthTrack"/>
        <s v="StudyBuddy"/>
        <s v="QuickCart"/>
        <s v="MovieHub"/>
        <s v="FinanceWise"/>
        <s v="FitJourney"/>
        <s v="NewsFlash"/>
        <s v="Eventify"/>
        <s v="RecipeBook"/>
        <s v="SmartNotes"/>
      </sharedItems>
    </cacheField>
    <cacheField name="Downloads" numFmtId="0">
      <sharedItems containsSemiMixedTypes="0" containsString="0" containsNumber="1" containsInteger="1" minValue="12000" maxValue="32000"/>
    </cacheField>
    <cacheField name="Revenue" numFmtId="0">
      <sharedItems containsSemiMixedTypes="0" containsString="0" containsNumber="1" containsInteger="1" minValue="35000" maxValue="90000"/>
    </cacheField>
    <cacheField name="Rating" numFmtId="0">
      <sharedItems containsSemiMixedTypes="0" containsString="0" containsNumber="1" minValue="4.0999999999999996" maxValue="4.8"/>
    </cacheField>
    <cacheField name="Active_Users" numFmtId="0">
      <sharedItems containsSemiMixedTypes="0" containsString="0" containsNumber="1" containsInteger="1" minValue="8000" maxValue="24000"/>
    </cacheField>
  </cacheFields>
  <extLst>
    <ext xmlns:x14="http://schemas.microsoft.com/office/spreadsheetml/2009/9/main" uri="{725AE2AE-9491-48be-B2B4-4EB974FC3084}">
      <x14:pivotCacheDefinition pivotCacheId="2199076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
    <x v="0"/>
    <n v="15000"/>
    <n v="45000"/>
    <n v="4.5"/>
    <n v="9000"/>
  </r>
  <r>
    <n v="2"/>
    <x v="1"/>
    <n v="25000"/>
    <n v="60000"/>
    <n v="4.7"/>
    <n v="18000"/>
  </r>
  <r>
    <n v="3"/>
    <x v="2"/>
    <n v="18000"/>
    <n v="50000"/>
    <n v="4.3"/>
    <n v="12000"/>
  </r>
  <r>
    <n v="4"/>
    <x v="3"/>
    <n v="30000"/>
    <n v="85000"/>
    <n v="4.5999999999999996"/>
    <n v="22000"/>
  </r>
  <r>
    <n v="5"/>
    <x v="4"/>
    <n v="12000"/>
    <n v="35000"/>
    <n v="4.2"/>
    <n v="8000"/>
  </r>
  <r>
    <n v="6"/>
    <x v="5"/>
    <n v="22000"/>
    <n v="65000"/>
    <n v="4.5999999999999996"/>
    <n v="16000"/>
  </r>
  <r>
    <n v="7"/>
    <x v="6"/>
    <n v="27000"/>
    <n v="70000"/>
    <n v="4.8"/>
    <n v="20000"/>
  </r>
  <r>
    <n v="8"/>
    <x v="7"/>
    <n v="32000"/>
    <n v="90000"/>
    <n v="4.5"/>
    <n v="24000"/>
  </r>
  <r>
    <n v="9"/>
    <x v="8"/>
    <n v="20000"/>
    <n v="55000"/>
    <n v="4.4000000000000004"/>
    <n v="14000"/>
  </r>
  <r>
    <n v="10"/>
    <x v="9"/>
    <n v="18000"/>
    <n v="60000"/>
    <n v="4.7"/>
    <n v="13000"/>
  </r>
  <r>
    <n v="11"/>
    <x v="10"/>
    <n v="25000"/>
    <n v="72000"/>
    <n v="4.5999999999999996"/>
    <n v="19000"/>
  </r>
  <r>
    <n v="12"/>
    <x v="11"/>
    <n v="15000"/>
    <n v="40000"/>
    <n v="4.0999999999999996"/>
    <n v="11000"/>
  </r>
  <r>
    <n v="13"/>
    <x v="12"/>
    <n v="17000"/>
    <n v="45000"/>
    <n v="4.3"/>
    <n v="12000"/>
  </r>
  <r>
    <n v="14"/>
    <x v="13"/>
    <n v="14000"/>
    <n v="38000"/>
    <n v="4.2"/>
    <n v="10000"/>
  </r>
  <r>
    <n v="15"/>
    <x v="14"/>
    <n v="29000"/>
    <n v="80000"/>
    <n v="4.8"/>
    <n v="2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94987B-BBE1-4E4C-B73F-156832DCEE8F}"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9" firstHeaderRow="1" firstDataRow="1" firstDataCol="1"/>
  <pivotFields count="6">
    <pivotField showAll="0"/>
    <pivotField axis="axisRow" showAll="0" sortType="ascending">
      <items count="16">
        <item x="12"/>
        <item x="9"/>
        <item x="10"/>
        <item x="0"/>
        <item x="2"/>
        <item x="5"/>
        <item x="1"/>
        <item x="8"/>
        <item x="11"/>
        <item x="7"/>
        <item x="13"/>
        <item x="3"/>
        <item x="14"/>
        <item x="6"/>
        <item x="4"/>
        <item t="default"/>
      </items>
    </pivotField>
    <pivotField showAll="0"/>
    <pivotField dataField="1" showAll="0"/>
    <pivotField showAll="0"/>
    <pivotField showAll="0"/>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Sum of Revenue"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_Name" xr10:uid="{9039F0C5-A507-40D6-B84E-C78E45DE89CE}" sourceName="App_Name">
  <pivotTables>
    <pivotTable tabId="6" name="PivotTable4"/>
  </pivotTables>
  <data>
    <tabular pivotCacheId="219907619">
      <items count="15">
        <i x="12" s="1"/>
        <i x="9" s="1"/>
        <i x="10" s="1"/>
        <i x="0" s="1"/>
        <i x="2" s="1"/>
        <i x="5" s="1"/>
        <i x="1" s="1"/>
        <i x="8" s="1"/>
        <i x="11" s="1"/>
        <i x="7" s="1"/>
        <i x="13" s="1"/>
        <i x="3" s="1"/>
        <i x="14" s="1"/>
        <i x="6"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pp_Name" xr10:uid="{8FABF550-D011-438A-8CA1-07C1B594F62E}" cache="Slicer_App_Name" caption="App_Name"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95EC1-B11C-486A-AFEA-A926BB0F725B}">
  <dimension ref="A1:F16"/>
  <sheetViews>
    <sheetView tabSelected="1" workbookViewId="0">
      <selection activeCell="I7" sqref="I7"/>
    </sheetView>
  </sheetViews>
  <sheetFormatPr defaultRowHeight="14.5" x14ac:dyDescent="0.35"/>
  <cols>
    <col min="1" max="2" width="12.08984375" customWidth="1"/>
    <col min="3" max="3" width="11.7265625" customWidth="1"/>
    <col min="6" max="6" width="16.1796875" customWidth="1"/>
  </cols>
  <sheetData>
    <row r="1" spans="1:6" x14ac:dyDescent="0.35">
      <c r="A1" s="3" t="s">
        <v>0</v>
      </c>
      <c r="B1" s="3" t="s">
        <v>6</v>
      </c>
      <c r="C1" s="3" t="s">
        <v>7</v>
      </c>
      <c r="D1" s="3" t="s">
        <v>8</v>
      </c>
      <c r="E1" s="3" t="s">
        <v>9</v>
      </c>
      <c r="F1" s="3" t="s">
        <v>10</v>
      </c>
    </row>
    <row r="2" spans="1:6" x14ac:dyDescent="0.35">
      <c r="A2" s="4">
        <v>1</v>
      </c>
      <c r="B2" s="4" t="s">
        <v>1</v>
      </c>
      <c r="C2" s="4">
        <v>15000</v>
      </c>
      <c r="D2" s="4">
        <v>45000</v>
      </c>
      <c r="E2" s="4">
        <v>4.5</v>
      </c>
      <c r="F2" s="4">
        <v>9000</v>
      </c>
    </row>
    <row r="3" spans="1:6" x14ac:dyDescent="0.35">
      <c r="A3" s="4">
        <v>2</v>
      </c>
      <c r="B3" s="4" t="s">
        <v>2</v>
      </c>
      <c r="C3" s="4">
        <v>25000</v>
      </c>
      <c r="D3" s="4">
        <v>60000</v>
      </c>
      <c r="E3" s="4">
        <v>4.7</v>
      </c>
      <c r="F3" s="4">
        <v>18000</v>
      </c>
    </row>
    <row r="4" spans="1:6" x14ac:dyDescent="0.35">
      <c r="A4" s="4">
        <v>3</v>
      </c>
      <c r="B4" s="4" t="s">
        <v>3</v>
      </c>
      <c r="C4" s="4">
        <v>18000</v>
      </c>
      <c r="D4" s="4">
        <v>50000</v>
      </c>
      <c r="E4" s="4">
        <v>4.3</v>
      </c>
      <c r="F4" s="4">
        <v>12000</v>
      </c>
    </row>
    <row r="5" spans="1:6" x14ac:dyDescent="0.35">
      <c r="A5" s="4">
        <v>4</v>
      </c>
      <c r="B5" s="4" t="s">
        <v>4</v>
      </c>
      <c r="C5" s="4">
        <v>30000</v>
      </c>
      <c r="D5" s="4">
        <v>85000</v>
      </c>
      <c r="E5" s="4">
        <v>4.5999999999999996</v>
      </c>
      <c r="F5" s="4">
        <v>22000</v>
      </c>
    </row>
    <row r="6" spans="1:6" x14ac:dyDescent="0.35">
      <c r="A6" s="4">
        <v>5</v>
      </c>
      <c r="B6" s="4" t="s">
        <v>5</v>
      </c>
      <c r="C6" s="4">
        <v>12000</v>
      </c>
      <c r="D6" s="4">
        <v>35000</v>
      </c>
      <c r="E6" s="4">
        <v>4.2</v>
      </c>
      <c r="F6" s="4">
        <v>8000</v>
      </c>
    </row>
    <row r="7" spans="1:6" x14ac:dyDescent="0.35">
      <c r="A7" s="4">
        <v>6</v>
      </c>
      <c r="B7" s="4" t="s">
        <v>38</v>
      </c>
      <c r="C7" s="4">
        <v>22000</v>
      </c>
      <c r="D7" s="4">
        <v>65000</v>
      </c>
      <c r="E7" s="4">
        <v>4.5999999999999996</v>
      </c>
      <c r="F7" s="4">
        <v>16000</v>
      </c>
    </row>
    <row r="8" spans="1:6" x14ac:dyDescent="0.35">
      <c r="A8" s="4">
        <v>7</v>
      </c>
      <c r="B8" s="4" t="s">
        <v>39</v>
      </c>
      <c r="C8" s="4">
        <v>27000</v>
      </c>
      <c r="D8" s="4">
        <v>70000</v>
      </c>
      <c r="E8" s="4">
        <v>4.8</v>
      </c>
      <c r="F8" s="4">
        <v>20000</v>
      </c>
    </row>
    <row r="9" spans="1:6" x14ac:dyDescent="0.35">
      <c r="A9" s="4">
        <v>8</v>
      </c>
      <c r="B9" s="4" t="s">
        <v>40</v>
      </c>
      <c r="C9" s="4">
        <v>32000</v>
      </c>
      <c r="D9" s="4">
        <v>90000</v>
      </c>
      <c r="E9" s="4">
        <v>4.5</v>
      </c>
      <c r="F9" s="4">
        <v>24000</v>
      </c>
    </row>
    <row r="10" spans="1:6" x14ac:dyDescent="0.35">
      <c r="A10" s="4">
        <v>9</v>
      </c>
      <c r="B10" s="4" t="s">
        <v>41</v>
      </c>
      <c r="C10" s="4">
        <v>20000</v>
      </c>
      <c r="D10" s="4">
        <v>55000</v>
      </c>
      <c r="E10" s="4">
        <v>4.4000000000000004</v>
      </c>
      <c r="F10" s="4">
        <v>14000</v>
      </c>
    </row>
    <row r="11" spans="1:6" x14ac:dyDescent="0.35">
      <c r="A11" s="4">
        <v>10</v>
      </c>
      <c r="B11" s="4" t="s">
        <v>42</v>
      </c>
      <c r="C11" s="4">
        <v>18000</v>
      </c>
      <c r="D11" s="4">
        <v>60000</v>
      </c>
      <c r="E11" s="4">
        <v>4.7</v>
      </c>
      <c r="F11" s="4">
        <v>13000</v>
      </c>
    </row>
    <row r="12" spans="1:6" x14ac:dyDescent="0.35">
      <c r="A12" s="4">
        <v>11</v>
      </c>
      <c r="B12" s="4" t="s">
        <v>43</v>
      </c>
      <c r="C12" s="4">
        <v>25000</v>
      </c>
      <c r="D12" s="4">
        <v>72000</v>
      </c>
      <c r="E12" s="4">
        <v>4.5999999999999996</v>
      </c>
      <c r="F12" s="4">
        <v>19000</v>
      </c>
    </row>
    <row r="13" spans="1:6" x14ac:dyDescent="0.35">
      <c r="A13" s="4">
        <v>12</v>
      </c>
      <c r="B13" s="4" t="s">
        <v>44</v>
      </c>
      <c r="C13" s="4">
        <v>15000</v>
      </c>
      <c r="D13" s="4">
        <v>40000</v>
      </c>
      <c r="E13" s="4">
        <v>4.0999999999999996</v>
      </c>
      <c r="F13" s="4">
        <v>11000</v>
      </c>
    </row>
    <row r="14" spans="1:6" x14ac:dyDescent="0.35">
      <c r="A14" s="4">
        <v>13</v>
      </c>
      <c r="B14" s="4" t="s">
        <v>45</v>
      </c>
      <c r="C14" s="4">
        <v>17000</v>
      </c>
      <c r="D14" s="4">
        <v>45000</v>
      </c>
      <c r="E14" s="4">
        <v>4.3</v>
      </c>
      <c r="F14" s="4">
        <v>12000</v>
      </c>
    </row>
    <row r="15" spans="1:6" x14ac:dyDescent="0.35">
      <c r="A15" s="4">
        <v>14</v>
      </c>
      <c r="B15" s="4" t="s">
        <v>46</v>
      </c>
      <c r="C15" s="4">
        <v>14000</v>
      </c>
      <c r="D15" s="4">
        <v>38000</v>
      </c>
      <c r="E15" s="4">
        <v>4.2</v>
      </c>
      <c r="F15" s="4">
        <v>10000</v>
      </c>
    </row>
    <row r="16" spans="1:6" x14ac:dyDescent="0.35">
      <c r="A16" s="4">
        <v>15</v>
      </c>
      <c r="B16" s="4" t="s">
        <v>47</v>
      </c>
      <c r="C16" s="4">
        <v>29000</v>
      </c>
      <c r="D16" s="4">
        <v>80000</v>
      </c>
      <c r="E16" s="4">
        <v>4.8</v>
      </c>
      <c r="F16" s="4">
        <v>22000</v>
      </c>
    </row>
  </sheetData>
  <conditionalFormatting sqref="D1:D6">
    <cfRule type="colorScale" priority="5">
      <colorScale>
        <cfvo type="min"/>
        <cfvo type="max"/>
        <color rgb="FFFCFCFF"/>
        <color rgb="FF63BE7B"/>
      </colorScale>
    </cfRule>
    <cfRule type="colorScale" priority="10">
      <colorScale>
        <cfvo type="min"/>
        <cfvo type="percentile" val="50"/>
        <cfvo type="max"/>
        <color rgb="FFF8696B"/>
        <color rgb="FFFFEB84"/>
        <color rgb="FF63BE7B"/>
      </colorScale>
    </cfRule>
  </conditionalFormatting>
  <conditionalFormatting sqref="C1:E6">
    <cfRule type="colorScale" priority="8">
      <colorScale>
        <cfvo type="min"/>
        <cfvo type="max"/>
        <color rgb="FFFCFCFF"/>
        <color rgb="FF63BE7B"/>
      </colorScale>
    </cfRule>
  </conditionalFormatting>
  <conditionalFormatting sqref="E1:E6">
    <cfRule type="colorScale" priority="7">
      <colorScale>
        <cfvo type="min"/>
        <cfvo type="max"/>
        <color rgb="FFFCFCFF"/>
        <color rgb="FF63BE7B"/>
      </colorScale>
    </cfRule>
  </conditionalFormatting>
  <conditionalFormatting sqref="C1:C6">
    <cfRule type="colorScale" priority="6">
      <colorScale>
        <cfvo type="min"/>
        <cfvo type="max"/>
        <color rgb="FFFCFCFF"/>
        <color rgb="FF63BE7B"/>
      </colorScale>
    </cfRule>
  </conditionalFormatting>
  <conditionalFormatting sqref="C1:C16">
    <cfRule type="colorScale" priority="4">
      <colorScale>
        <cfvo type="min"/>
        <cfvo type="max"/>
        <color rgb="FFFCFCFF"/>
        <color rgb="FF63BE7B"/>
      </colorScale>
    </cfRule>
  </conditionalFormatting>
  <conditionalFormatting sqref="D1:D16">
    <cfRule type="colorScale" priority="3">
      <colorScale>
        <cfvo type="min"/>
        <cfvo type="max"/>
        <color rgb="FFFCFCFF"/>
        <color rgb="FF63BE7B"/>
      </colorScale>
    </cfRule>
  </conditionalFormatting>
  <conditionalFormatting sqref="E1:E16">
    <cfRule type="colorScale" priority="2">
      <colorScale>
        <cfvo type="min"/>
        <cfvo type="max"/>
        <color rgb="FFFCFCFF"/>
        <color rgb="FF63BE7B"/>
      </colorScale>
    </cfRule>
  </conditionalFormatting>
  <conditionalFormatting sqref="F1:F16">
    <cfRule type="colorScale" priority="1">
      <colorScale>
        <cfvo type="min"/>
        <cfvo type="max"/>
        <color rgb="FFFCFCFF"/>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B5B0C-7B52-44C7-A979-B999A3B21B85}">
  <dimension ref="A1:D16"/>
  <sheetViews>
    <sheetView workbookViewId="0">
      <selection activeCell="J4" sqref="J4"/>
    </sheetView>
  </sheetViews>
  <sheetFormatPr defaultRowHeight="14.5" x14ac:dyDescent="0.35"/>
  <cols>
    <col min="1" max="2" width="13" customWidth="1"/>
    <col min="3" max="3" width="11.36328125" customWidth="1"/>
  </cols>
  <sheetData>
    <row r="1" spans="1:4" ht="29" x14ac:dyDescent="0.35">
      <c r="A1" s="3" t="s">
        <v>11</v>
      </c>
      <c r="B1" s="3" t="s">
        <v>6</v>
      </c>
      <c r="C1" s="3" t="s">
        <v>7</v>
      </c>
      <c r="D1" s="3" t="s">
        <v>9</v>
      </c>
    </row>
    <row r="2" spans="1:4" x14ac:dyDescent="0.35">
      <c r="A2" s="4" t="s">
        <v>12</v>
      </c>
      <c r="B2" s="4" t="s">
        <v>13</v>
      </c>
      <c r="C2" s="4">
        <v>20000</v>
      </c>
      <c r="D2" s="4">
        <v>4.7</v>
      </c>
    </row>
    <row r="3" spans="1:4" x14ac:dyDescent="0.35">
      <c r="A3" s="4" t="s">
        <v>14</v>
      </c>
      <c r="B3" s="4" t="s">
        <v>15</v>
      </c>
      <c r="C3" s="4">
        <v>28000</v>
      </c>
      <c r="D3" s="4">
        <v>4.8</v>
      </c>
    </row>
    <row r="4" spans="1:4" ht="29" x14ac:dyDescent="0.35">
      <c r="A4" s="4" t="s">
        <v>16</v>
      </c>
      <c r="B4" s="4" t="s">
        <v>17</v>
      </c>
      <c r="C4" s="4">
        <v>25000</v>
      </c>
      <c r="D4" s="4">
        <v>4.4000000000000004</v>
      </c>
    </row>
    <row r="5" spans="1:4" ht="29" x14ac:dyDescent="0.35">
      <c r="A5" s="4" t="s">
        <v>18</v>
      </c>
      <c r="B5" s="4" t="s">
        <v>19</v>
      </c>
      <c r="C5" s="4">
        <v>35000</v>
      </c>
      <c r="D5" s="4">
        <v>4.7</v>
      </c>
    </row>
    <row r="6" spans="1:4" x14ac:dyDescent="0.35">
      <c r="A6" s="4" t="s">
        <v>20</v>
      </c>
      <c r="B6" s="4" t="s">
        <v>21</v>
      </c>
      <c r="C6" s="4">
        <v>15000</v>
      </c>
      <c r="D6" s="4">
        <v>4.3</v>
      </c>
    </row>
    <row r="7" spans="1:4" x14ac:dyDescent="0.35">
      <c r="A7" s="4" t="s">
        <v>48</v>
      </c>
      <c r="B7" s="4" t="s">
        <v>49</v>
      </c>
      <c r="C7" s="4">
        <v>24000</v>
      </c>
      <c r="D7" s="4">
        <v>4.5999999999999996</v>
      </c>
    </row>
    <row r="8" spans="1:4" x14ac:dyDescent="0.35">
      <c r="A8" s="4" t="s">
        <v>50</v>
      </c>
      <c r="B8" s="4" t="s">
        <v>51</v>
      </c>
      <c r="C8" s="4">
        <v>30000</v>
      </c>
      <c r="D8" s="4">
        <v>4.8</v>
      </c>
    </row>
    <row r="9" spans="1:4" x14ac:dyDescent="0.35">
      <c r="A9" s="4" t="s">
        <v>52</v>
      </c>
      <c r="B9" s="4" t="s">
        <v>53</v>
      </c>
      <c r="C9" s="4">
        <v>40000</v>
      </c>
      <c r="D9" s="4">
        <v>4.7</v>
      </c>
    </row>
    <row r="10" spans="1:4" x14ac:dyDescent="0.35">
      <c r="A10" s="4" t="s">
        <v>54</v>
      </c>
      <c r="B10" s="4" t="s">
        <v>55</v>
      </c>
      <c r="C10" s="4">
        <v>26000</v>
      </c>
      <c r="D10" s="4">
        <v>4.5</v>
      </c>
    </row>
    <row r="11" spans="1:4" x14ac:dyDescent="0.35">
      <c r="A11" s="4" t="s">
        <v>56</v>
      </c>
      <c r="B11" s="4" t="s">
        <v>57</v>
      </c>
      <c r="C11" s="4">
        <v>22000</v>
      </c>
      <c r="D11" s="4">
        <v>4.5999999999999996</v>
      </c>
    </row>
    <row r="12" spans="1:4" x14ac:dyDescent="0.35">
      <c r="A12" s="4" t="s">
        <v>58</v>
      </c>
      <c r="B12" s="4" t="s">
        <v>59</v>
      </c>
      <c r="C12" s="4">
        <v>28000</v>
      </c>
      <c r="D12" s="4">
        <v>4.7</v>
      </c>
    </row>
    <row r="13" spans="1:4" x14ac:dyDescent="0.35">
      <c r="A13" s="4" t="s">
        <v>60</v>
      </c>
      <c r="B13" s="4" t="s">
        <v>61</v>
      </c>
      <c r="C13" s="4">
        <v>18000</v>
      </c>
      <c r="D13" s="4">
        <v>4.2</v>
      </c>
    </row>
    <row r="14" spans="1:4" x14ac:dyDescent="0.35">
      <c r="A14" s="4" t="s">
        <v>62</v>
      </c>
      <c r="B14" s="4" t="s">
        <v>63</v>
      </c>
      <c r="C14" s="4">
        <v>20000</v>
      </c>
      <c r="D14" s="4">
        <v>4.4000000000000004</v>
      </c>
    </row>
    <row r="15" spans="1:4" x14ac:dyDescent="0.35">
      <c r="A15" s="4" t="s">
        <v>64</v>
      </c>
      <c r="B15" s="4" t="s">
        <v>65</v>
      </c>
      <c r="C15" s="4">
        <v>16000</v>
      </c>
      <c r="D15" s="4">
        <v>4.3</v>
      </c>
    </row>
    <row r="16" spans="1:4" x14ac:dyDescent="0.35">
      <c r="A16" s="4" t="s">
        <v>66</v>
      </c>
      <c r="B16" s="4" t="s">
        <v>67</v>
      </c>
      <c r="C16" s="4">
        <v>32000</v>
      </c>
      <c r="D16" s="4">
        <v>4.8</v>
      </c>
    </row>
  </sheetData>
  <conditionalFormatting sqref="C1:C16">
    <cfRule type="colorScale" priority="2">
      <colorScale>
        <cfvo type="min"/>
        <cfvo type="max"/>
        <color rgb="FFFCFCFF"/>
        <color rgb="FF63BE7B"/>
      </colorScale>
    </cfRule>
  </conditionalFormatting>
  <conditionalFormatting sqref="D1:D16">
    <cfRule type="colorScale" priority="1">
      <colorScale>
        <cfvo type="min"/>
        <cfvo type="max"/>
        <color rgb="FFFCFCFF"/>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E5723-AEC1-4B45-953F-9976184C4673}">
  <dimension ref="A1:E13"/>
  <sheetViews>
    <sheetView workbookViewId="0">
      <selection activeCell="I8" sqref="I8"/>
    </sheetView>
  </sheetViews>
  <sheetFormatPr defaultRowHeight="14.5" x14ac:dyDescent="0.35"/>
  <cols>
    <col min="2" max="2" width="15.1796875" customWidth="1"/>
    <col min="3" max="3" width="15" customWidth="1"/>
    <col min="4" max="4" width="12.81640625" customWidth="1"/>
  </cols>
  <sheetData>
    <row r="1" spans="1:5" x14ac:dyDescent="0.35">
      <c r="A1" s="3" t="s">
        <v>22</v>
      </c>
      <c r="B1" s="3" t="s">
        <v>23</v>
      </c>
      <c r="C1" s="3" t="s">
        <v>24</v>
      </c>
      <c r="D1" s="3" t="s">
        <v>25</v>
      </c>
      <c r="E1" s="3" t="s">
        <v>32</v>
      </c>
    </row>
    <row r="2" spans="1:5" x14ac:dyDescent="0.35">
      <c r="A2" s="4" t="s">
        <v>26</v>
      </c>
      <c r="B2" s="4">
        <v>1200</v>
      </c>
      <c r="C2" s="4">
        <v>5000</v>
      </c>
      <c r="D2" s="4">
        <v>2000</v>
      </c>
      <c r="E2" s="2">
        <f>B2+C2+D2</f>
        <v>8200</v>
      </c>
    </row>
    <row r="3" spans="1:5" x14ac:dyDescent="0.35">
      <c r="A3" s="4" t="s">
        <v>27</v>
      </c>
      <c r="B3" s="4">
        <v>1200</v>
      </c>
      <c r="C3" s="4">
        <v>5200</v>
      </c>
      <c r="D3" s="4">
        <v>2000</v>
      </c>
      <c r="E3" s="2">
        <f t="shared" ref="E3:E13" si="0">B3+C3+D3</f>
        <v>8400</v>
      </c>
    </row>
    <row r="4" spans="1:5" x14ac:dyDescent="0.35">
      <c r="A4" s="4" t="s">
        <v>28</v>
      </c>
      <c r="B4" s="4">
        <v>1200</v>
      </c>
      <c r="C4" s="4">
        <v>5100</v>
      </c>
      <c r="D4" s="4">
        <v>2200</v>
      </c>
      <c r="E4" s="2">
        <f t="shared" si="0"/>
        <v>8500</v>
      </c>
    </row>
    <row r="5" spans="1:5" x14ac:dyDescent="0.35">
      <c r="A5" s="4" t="s">
        <v>29</v>
      </c>
      <c r="B5" s="4">
        <v>1200</v>
      </c>
      <c r="C5" s="4">
        <v>5300</v>
      </c>
      <c r="D5" s="4">
        <v>2200</v>
      </c>
      <c r="E5" s="2">
        <f t="shared" si="0"/>
        <v>8700</v>
      </c>
    </row>
    <row r="6" spans="1:5" x14ac:dyDescent="0.35">
      <c r="A6" s="4" t="s">
        <v>30</v>
      </c>
      <c r="B6" s="4">
        <v>1200</v>
      </c>
      <c r="C6" s="4">
        <v>5500</v>
      </c>
      <c r="D6" s="4">
        <v>2300</v>
      </c>
      <c r="E6" s="2">
        <f t="shared" si="0"/>
        <v>9000</v>
      </c>
    </row>
    <row r="7" spans="1:5" x14ac:dyDescent="0.35">
      <c r="A7" s="4" t="s">
        <v>31</v>
      </c>
      <c r="B7" s="4">
        <v>1200</v>
      </c>
      <c r="C7" s="4">
        <v>5700</v>
      </c>
      <c r="D7" s="4">
        <v>2300</v>
      </c>
      <c r="E7" s="2">
        <f t="shared" si="0"/>
        <v>9200</v>
      </c>
    </row>
    <row r="8" spans="1:5" x14ac:dyDescent="0.35">
      <c r="A8" s="4" t="s">
        <v>68</v>
      </c>
      <c r="B8" s="4">
        <v>1200</v>
      </c>
      <c r="C8" s="4">
        <v>5900</v>
      </c>
      <c r="D8" s="4">
        <v>2400</v>
      </c>
      <c r="E8" s="2">
        <f t="shared" si="0"/>
        <v>9500</v>
      </c>
    </row>
    <row r="9" spans="1:5" x14ac:dyDescent="0.35">
      <c r="A9" s="4" t="s">
        <v>69</v>
      </c>
      <c r="B9" s="4">
        <v>1200</v>
      </c>
      <c r="C9" s="4">
        <v>6000</v>
      </c>
      <c r="D9" s="4">
        <v>2400</v>
      </c>
      <c r="E9" s="2">
        <f t="shared" si="0"/>
        <v>9600</v>
      </c>
    </row>
    <row r="10" spans="1:5" x14ac:dyDescent="0.35">
      <c r="A10" s="4" t="s">
        <v>70</v>
      </c>
      <c r="B10" s="4">
        <v>1200</v>
      </c>
      <c r="C10" s="4">
        <v>6200</v>
      </c>
      <c r="D10" s="4">
        <v>2500</v>
      </c>
      <c r="E10" s="2">
        <f t="shared" si="0"/>
        <v>9900</v>
      </c>
    </row>
    <row r="11" spans="1:5" x14ac:dyDescent="0.35">
      <c r="A11" s="4" t="s">
        <v>71</v>
      </c>
      <c r="B11" s="4">
        <v>1200</v>
      </c>
      <c r="C11" s="4">
        <v>6300</v>
      </c>
      <c r="D11" s="4">
        <v>2500</v>
      </c>
      <c r="E11" s="2">
        <f t="shared" si="0"/>
        <v>10000</v>
      </c>
    </row>
    <row r="12" spans="1:5" x14ac:dyDescent="0.35">
      <c r="A12" s="4" t="s">
        <v>72</v>
      </c>
      <c r="B12" s="4">
        <v>1200</v>
      </c>
      <c r="C12" s="4">
        <v>6500</v>
      </c>
      <c r="D12" s="4">
        <v>2600</v>
      </c>
      <c r="E12" s="2">
        <f t="shared" si="0"/>
        <v>10300</v>
      </c>
    </row>
    <row r="13" spans="1:5" x14ac:dyDescent="0.35">
      <c r="A13" s="4" t="s">
        <v>73</v>
      </c>
      <c r="B13" s="4">
        <v>1200</v>
      </c>
      <c r="C13" s="4">
        <v>6700</v>
      </c>
      <c r="D13" s="4">
        <v>2700</v>
      </c>
      <c r="E13" s="2">
        <f t="shared" si="0"/>
        <v>10600</v>
      </c>
    </row>
  </sheetData>
  <conditionalFormatting sqref="E1:E13">
    <cfRule type="iconSet" priority="3">
      <iconSet iconSet="4Rating">
        <cfvo type="percent" val="0"/>
        <cfvo type="percent" val="25"/>
        <cfvo type="percent" val="50"/>
        <cfvo type="percent" val="75"/>
      </iconSet>
    </cfRule>
  </conditionalFormatting>
  <conditionalFormatting sqref="D1:D13">
    <cfRule type="colorScale" priority="2">
      <colorScale>
        <cfvo type="min"/>
        <cfvo type="max"/>
        <color rgb="FFFCFCFF"/>
        <color rgb="FF63BE7B"/>
      </colorScale>
    </cfRule>
  </conditionalFormatting>
  <conditionalFormatting sqref="C1:C13">
    <cfRule type="colorScale" priority="1">
      <colorScale>
        <cfvo type="min"/>
        <cfvo type="max"/>
        <color rgb="FFFCFCFF"/>
        <color rgb="FF63BE7B"/>
      </colorScale>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4" id="{A17F8650-C36B-487B-B5E3-FADF137EF736}">
            <x14:iconSet iconSet="3Stars">
              <x14:cfvo type="percent">
                <xm:f>0</xm:f>
              </x14:cfvo>
              <x14:cfvo type="percent">
                <xm:f>33</xm:f>
              </x14:cfvo>
              <x14:cfvo type="percent">
                <xm:f>67</xm:f>
              </x14:cfvo>
            </x14:iconSet>
          </x14:cfRule>
          <xm:sqref>E1:E13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3E120-D36D-4422-B870-5BED075AA0A2}">
  <dimension ref="A1:I6"/>
  <sheetViews>
    <sheetView workbookViewId="0">
      <selection activeCell="E3" sqref="E3"/>
    </sheetView>
  </sheetViews>
  <sheetFormatPr defaultRowHeight="14.5" x14ac:dyDescent="0.35"/>
  <cols>
    <col min="2" max="2" width="15.36328125" customWidth="1"/>
    <col min="3" max="3" width="9.81640625" customWidth="1"/>
  </cols>
  <sheetData>
    <row r="1" spans="1:9" x14ac:dyDescent="0.35">
      <c r="A1" s="3" t="s">
        <v>74</v>
      </c>
      <c r="B1" s="3" t="s">
        <v>75</v>
      </c>
      <c r="C1" s="3" t="s">
        <v>8</v>
      </c>
    </row>
    <row r="2" spans="1:9" x14ac:dyDescent="0.35">
      <c r="A2" s="4">
        <v>1</v>
      </c>
      <c r="B2" s="4" t="s">
        <v>40</v>
      </c>
      <c r="C2" s="4">
        <v>90000</v>
      </c>
      <c r="F2" s="1" t="s">
        <v>33</v>
      </c>
      <c r="G2" s="1" t="s">
        <v>7</v>
      </c>
      <c r="H2" s="1" t="s">
        <v>9</v>
      </c>
      <c r="I2" s="1" t="s">
        <v>34</v>
      </c>
    </row>
    <row r="3" spans="1:9" x14ac:dyDescent="0.35">
      <c r="A3" s="4">
        <v>2</v>
      </c>
      <c r="B3" s="4" t="s">
        <v>4</v>
      </c>
      <c r="C3" s="4">
        <v>85000</v>
      </c>
      <c r="F3" s="2">
        <f>SUM(apps!D2:D16)</f>
        <v>890000</v>
      </c>
      <c r="G3" s="2">
        <f>SUM(apps!C2:C16)</f>
        <v>319000</v>
      </c>
      <c r="H3" s="2">
        <f>AVERAGE(apps!E2:E16)</f>
        <v>4.4866666666666672</v>
      </c>
      <c r="I3" s="2">
        <f>SUM(expenses!B2:D13)</f>
        <v>111900</v>
      </c>
    </row>
    <row r="4" spans="1:9" x14ac:dyDescent="0.35">
      <c r="A4" s="4">
        <v>3</v>
      </c>
      <c r="B4" s="4" t="s">
        <v>47</v>
      </c>
      <c r="C4" s="4">
        <v>80000</v>
      </c>
    </row>
    <row r="5" spans="1:9" x14ac:dyDescent="0.35">
      <c r="A5" s="4">
        <v>4</v>
      </c>
      <c r="B5" s="4" t="s">
        <v>43</v>
      </c>
      <c r="C5" s="4">
        <v>72000</v>
      </c>
    </row>
    <row r="6" spans="1:9" ht="20" customHeight="1" x14ac:dyDescent="0.35">
      <c r="A6" s="4">
        <v>5</v>
      </c>
      <c r="B6" s="4" t="s">
        <v>39</v>
      </c>
      <c r="C6" s="4">
        <v>70000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7EBC1-A1EA-40F4-B3CF-03332D633F25}">
  <dimension ref="A3:B19"/>
  <sheetViews>
    <sheetView workbookViewId="0">
      <selection activeCell="F2" sqref="F2"/>
    </sheetView>
  </sheetViews>
  <sheetFormatPr defaultRowHeight="14.5" x14ac:dyDescent="0.35"/>
  <cols>
    <col min="1" max="1" width="12.453125" bestFit="1" customWidth="1"/>
    <col min="2" max="2" width="14.36328125" bestFit="1" customWidth="1"/>
  </cols>
  <sheetData>
    <row r="3" spans="1:2" x14ac:dyDescent="0.35">
      <c r="A3" s="6" t="s">
        <v>35</v>
      </c>
      <c r="B3" t="s">
        <v>37</v>
      </c>
    </row>
    <row r="4" spans="1:2" x14ac:dyDescent="0.35">
      <c r="A4" s="7" t="s">
        <v>45</v>
      </c>
      <c r="B4" s="5">
        <v>45000</v>
      </c>
    </row>
    <row r="5" spans="1:2" x14ac:dyDescent="0.35">
      <c r="A5" s="7" t="s">
        <v>42</v>
      </c>
      <c r="B5" s="5">
        <v>60000</v>
      </c>
    </row>
    <row r="6" spans="1:2" x14ac:dyDescent="0.35">
      <c r="A6" s="7" t="s">
        <v>43</v>
      </c>
      <c r="B6" s="5">
        <v>72000</v>
      </c>
    </row>
    <row r="7" spans="1:2" x14ac:dyDescent="0.35">
      <c r="A7" s="7" t="s">
        <v>1</v>
      </c>
      <c r="B7" s="5">
        <v>45000</v>
      </c>
    </row>
    <row r="8" spans="1:2" x14ac:dyDescent="0.35">
      <c r="A8" s="7" t="s">
        <v>3</v>
      </c>
      <c r="B8" s="5">
        <v>50000</v>
      </c>
    </row>
    <row r="9" spans="1:2" x14ac:dyDescent="0.35">
      <c r="A9" s="7" t="s">
        <v>38</v>
      </c>
      <c r="B9" s="5">
        <v>65000</v>
      </c>
    </row>
    <row r="10" spans="1:2" x14ac:dyDescent="0.35">
      <c r="A10" s="7" t="s">
        <v>2</v>
      </c>
      <c r="B10" s="5">
        <v>60000</v>
      </c>
    </row>
    <row r="11" spans="1:2" x14ac:dyDescent="0.35">
      <c r="A11" s="7" t="s">
        <v>41</v>
      </c>
      <c r="B11" s="5">
        <v>55000</v>
      </c>
    </row>
    <row r="12" spans="1:2" x14ac:dyDescent="0.35">
      <c r="A12" s="7" t="s">
        <v>44</v>
      </c>
      <c r="B12" s="5">
        <v>40000</v>
      </c>
    </row>
    <row r="13" spans="1:2" x14ac:dyDescent="0.35">
      <c r="A13" s="7" t="s">
        <v>40</v>
      </c>
      <c r="B13" s="5">
        <v>90000</v>
      </c>
    </row>
    <row r="14" spans="1:2" x14ac:dyDescent="0.35">
      <c r="A14" s="7" t="s">
        <v>46</v>
      </c>
      <c r="B14" s="5">
        <v>38000</v>
      </c>
    </row>
    <row r="15" spans="1:2" x14ac:dyDescent="0.35">
      <c r="A15" s="7" t="s">
        <v>4</v>
      </c>
      <c r="B15" s="5">
        <v>85000</v>
      </c>
    </row>
    <row r="16" spans="1:2" x14ac:dyDescent="0.35">
      <c r="A16" s="7" t="s">
        <v>47</v>
      </c>
      <c r="B16" s="5">
        <v>80000</v>
      </c>
    </row>
    <row r="17" spans="1:2" x14ac:dyDescent="0.35">
      <c r="A17" s="7" t="s">
        <v>39</v>
      </c>
      <c r="B17" s="5">
        <v>70000</v>
      </c>
    </row>
    <row r="18" spans="1:2" x14ac:dyDescent="0.35">
      <c r="A18" s="7" t="s">
        <v>5</v>
      </c>
      <c r="B18" s="5">
        <v>35000</v>
      </c>
    </row>
    <row r="19" spans="1:2" x14ac:dyDescent="0.35">
      <c r="A19" s="7" t="s">
        <v>36</v>
      </c>
      <c r="B19" s="5">
        <v>890000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apps</vt:lpstr>
      <vt:lpstr>competitors</vt:lpstr>
      <vt:lpstr>expenses</vt:lpstr>
      <vt:lpstr>Dashboard</vt:lpstr>
      <vt:lpstr>pivot analysis</vt:lpstr>
    </vt:vector>
  </TitlesOfParts>
  <Company>ONGC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Arya Pawaskar</dc:creator>
  <cp:lastModifiedBy>Arya Pawaskar</cp:lastModifiedBy>
  <dcterms:created xsi:type="dcterms:W3CDTF">2026-06-11T05:41:54Z</dcterms:created>
  <dcterms:modified xsi:type="dcterms:W3CDTF">2026-06-17T14:08:16Z</dcterms:modified>
</cp:coreProperties>
</file>